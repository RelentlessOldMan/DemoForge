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Ru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Max peak position error (per run)</t>
        </is>
      </c>
      <c r="B2" t="n">
        <v>0.5</v>
      </c>
      <c r="C2" t="inlineStr">
        <is>
          <t>m</t>
        </is>
      </c>
      <c r="D2" t="inlineStr">
        <is>
          <t>CVT-VAL-002 Rev A §4</t>
        </is>
      </c>
    </row>
    <row r="3">
      <c r="A3" t="inlineStr">
        <is>
          <t>Min pass rate</t>
        </is>
      </c>
      <c r="B3" t="n">
        <v>0.95</v>
      </c>
      <c r="C3" t="inlineStr">
        <is>
          <t>fraction</t>
        </is>
      </c>
      <c r="D3" t="inlineStr">
        <is>
          <t>CVT-VAL-002 Rev A §4</t>
        </is>
      </c>
    </row>
    <row r="4">
      <c r="A4" t="inlineStr">
        <is>
          <t>Max runtime (per run)</t>
        </is>
      </c>
      <c r="B4" t="n">
        <v>50</v>
      </c>
      <c r="C4" t="inlineStr">
        <is>
          <t>ms</t>
        </is>
      </c>
      <c r="D4" t="inlineStr">
        <is>
          <t>CVT-VAL-002 Rev A §4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4" customWidth="1" min="5" max="5"/>
    <col width="16" customWidth="1" min="6" max="6"/>
    <col width="12" customWidth="1" min="7" max="7"/>
    <col width="9" customWidth="1" min="8" max="8"/>
  </cols>
  <sheetData>
    <row r="1">
      <c r="A1" s="1" t="inlineStr">
        <is>
          <t>RunID</t>
        </is>
      </c>
      <c r="B1" s="1" t="inlineStr">
        <is>
          <t>Date</t>
        </is>
      </c>
      <c r="C1" s="1" t="inlineStr">
        <is>
          <t>Scenario</t>
        </is>
      </c>
      <c r="D1" s="1" t="inlineStr">
        <is>
          <t>Build</t>
        </is>
      </c>
      <c r="E1" s="1" t="inlineStr">
        <is>
          <t>Worker</t>
        </is>
      </c>
      <c r="F1" s="1" t="inlineStr">
        <is>
          <t>PeakPosError_m</t>
        </is>
      </c>
      <c r="G1" s="1" t="inlineStr">
        <is>
          <t>Runtime_ms</t>
        </is>
      </c>
      <c r="H1" s="1" t="inlineStr">
        <is>
          <t>Result</t>
        </is>
      </c>
    </row>
    <row r="2">
      <c r="A2" t="inlineStr">
        <is>
          <t>VR-1901</t>
        </is>
      </c>
      <c r="B2" s="2" t="n">
        <v>46162</v>
      </c>
      <c r="C2" t="inlineStr">
        <is>
          <t>maneuver</t>
        </is>
      </c>
      <c r="D2" t="inlineStr">
        <is>
          <t>v2.3.0-rc1</t>
        </is>
      </c>
      <c r="E2" t="inlineStr">
        <is>
          <t>estimator-01</t>
        </is>
      </c>
      <c r="F2" s="3" t="n">
        <v>0.887</v>
      </c>
      <c r="G2" s="4" t="n">
        <v>34.7</v>
      </c>
      <c r="H2" t="str">
        <f>IF(AND(F2&lt;=Criteria!$B$2,G2&lt;=Criteria!$B$4),"PASS","FAIL")</f>
        <v>FAIL</v>
      </c>
    </row>
    <row r="3">
      <c r="A3" t="inlineStr">
        <is>
          <t>VR-1902</t>
        </is>
      </c>
      <c r="B3" s="2" t="n">
        <v>46162</v>
      </c>
      <c r="C3" t="inlineStr">
        <is>
          <t>cruise</t>
        </is>
      </c>
      <c r="D3" t="inlineStr">
        <is>
          <t>v2.3.0-rc1</t>
        </is>
      </c>
      <c r="E3" t="inlineStr">
        <is>
          <t>estimator-02</t>
        </is>
      </c>
      <c r="F3" s="3" t="n">
        <v>0.224</v>
      </c>
      <c r="G3" s="4" t="n">
        <v>37.2</v>
      </c>
      <c r="H3" t="str">
        <f>IF(AND(F3&lt;=Criteria!$B$2,G3&lt;=Criteria!$B$4),"PASS","FAIL")</f>
        <v>PASS</v>
      </c>
    </row>
    <row r="4">
      <c r="A4" t="inlineStr">
        <is>
          <t>VR-1903</t>
        </is>
      </c>
      <c r="B4" s="2" t="n">
        <v>46162</v>
      </c>
      <c r="C4" t="inlineStr">
        <is>
          <t>maneuver</t>
        </is>
      </c>
      <c r="D4" t="inlineStr">
        <is>
          <t>v2.3.0-rc1</t>
        </is>
      </c>
      <c r="E4" t="inlineStr">
        <is>
          <t>estimator-01</t>
        </is>
      </c>
      <c r="F4" s="3" t="n">
        <v>0.75</v>
      </c>
      <c r="G4" s="4" t="n">
        <v>32.5</v>
      </c>
      <c r="H4" t="str">
        <f>IF(AND(F4&lt;=Criteria!$B$2,G4&lt;=Criteria!$B$4),"PASS","FAIL")</f>
        <v>FAIL</v>
      </c>
    </row>
    <row r="5">
      <c r="A5" t="inlineStr">
        <is>
          <t>VR-1904</t>
        </is>
      </c>
      <c r="B5" s="2" t="n">
        <v>46162</v>
      </c>
      <c r="C5" t="inlineStr">
        <is>
          <t>maneuver</t>
        </is>
      </c>
      <c r="D5" t="inlineStr">
        <is>
          <t>v2.3.0-rc1</t>
        </is>
      </c>
      <c r="E5" t="inlineStr">
        <is>
          <t>estimator-02</t>
        </is>
      </c>
      <c r="F5" s="3" t="n">
        <v>1.003</v>
      </c>
      <c r="G5" s="4" t="n">
        <v>37.8</v>
      </c>
      <c r="H5" t="str">
        <f>IF(AND(F5&lt;=Criteria!$B$2,G5&lt;=Criteria!$B$4),"PASS","FAIL")</f>
        <v>FAIL</v>
      </c>
    </row>
    <row r="6">
      <c r="A6" t="inlineStr">
        <is>
          <t>VR-1905</t>
        </is>
      </c>
      <c r="B6" s="2" t="n">
        <v>46162</v>
      </c>
      <c r="C6" t="inlineStr">
        <is>
          <t>cruise</t>
        </is>
      </c>
      <c r="D6" t="inlineStr">
        <is>
          <t>v2.3.0-rc1</t>
        </is>
      </c>
      <c r="E6" t="inlineStr">
        <is>
          <t>estimator-01</t>
        </is>
      </c>
      <c r="F6" s="3" t="n">
        <v>0.208</v>
      </c>
      <c r="G6" s="4" t="n">
        <v>33.9</v>
      </c>
      <c r="H6" t="str">
        <f>IF(AND(F6&lt;=Criteria!$B$2,G6&lt;=Criteria!$B$4),"PASS","FAIL")</f>
        <v>PASS</v>
      </c>
    </row>
    <row r="7">
      <c r="A7" t="inlineStr">
        <is>
          <t>VR-1906</t>
        </is>
      </c>
      <c r="B7" s="2" t="n">
        <v>46163</v>
      </c>
      <c r="C7" t="inlineStr">
        <is>
          <t>turn</t>
        </is>
      </c>
      <c r="D7" t="inlineStr">
        <is>
          <t>v2.3.0-rc1</t>
        </is>
      </c>
      <c r="E7" t="inlineStr">
        <is>
          <t>estimator-02</t>
        </is>
      </c>
      <c r="F7" s="3" t="n">
        <v>0.339</v>
      </c>
      <c r="G7" s="4" t="n">
        <v>35.5</v>
      </c>
      <c r="H7" t="str">
        <f>IF(AND(F7&lt;=Criteria!$B$2,G7&lt;=Criteria!$B$4),"PASS","FAIL")</f>
        <v>PASS</v>
      </c>
    </row>
    <row r="8">
      <c r="A8" t="inlineStr">
        <is>
          <t>VR-1907</t>
        </is>
      </c>
      <c r="B8" s="2" t="n">
        <v>46163</v>
      </c>
      <c r="C8" t="inlineStr">
        <is>
          <t>turn</t>
        </is>
      </c>
      <c r="D8" t="inlineStr">
        <is>
          <t>v2.3.0-rc1</t>
        </is>
      </c>
      <c r="E8" t="inlineStr">
        <is>
          <t>estimator-01</t>
        </is>
      </c>
      <c r="F8" s="3" t="n">
        <v>0.437</v>
      </c>
      <c r="G8" s="4" t="n">
        <v>36</v>
      </c>
      <c r="H8" t="str">
        <f>IF(AND(F8&lt;=Criteria!$B$2,G8&lt;=Criteria!$B$4),"PASS","FAIL")</f>
        <v>PASS</v>
      </c>
    </row>
    <row r="9">
      <c r="A9" t="inlineStr">
        <is>
          <t>VR-1908</t>
        </is>
      </c>
      <c r="B9" s="2" t="n">
        <v>46163</v>
      </c>
      <c r="C9" t="inlineStr">
        <is>
          <t>cruise</t>
        </is>
      </c>
      <c r="D9" t="inlineStr">
        <is>
          <t>v2.3.0-rc1</t>
        </is>
      </c>
      <c r="E9" t="inlineStr">
        <is>
          <t>estimator-02</t>
        </is>
      </c>
      <c r="F9" s="3" t="n">
        <v>0.208</v>
      </c>
      <c r="G9" s="4" t="n">
        <v>36.8</v>
      </c>
      <c r="H9" t="str">
        <f>IF(AND(F9&lt;=Criteria!$B$2,G9&lt;=Criteria!$B$4),"PASS","FAIL")</f>
        <v>PASS</v>
      </c>
    </row>
    <row r="10">
      <c r="A10" t="inlineStr">
        <is>
          <t>VR-1909</t>
        </is>
      </c>
      <c r="B10" s="2" t="n">
        <v>46163</v>
      </c>
      <c r="C10" t="inlineStr">
        <is>
          <t>turn</t>
        </is>
      </c>
      <c r="D10" t="inlineStr">
        <is>
          <t>v2.3.0-rc1</t>
        </is>
      </c>
      <c r="E10" t="inlineStr">
        <is>
          <t>estimator-01</t>
        </is>
      </c>
      <c r="F10" s="3" t="n">
        <v>0.366</v>
      </c>
      <c r="G10" s="4" t="n">
        <v>31.9</v>
      </c>
      <c r="H10" t="str">
        <f>IF(AND(F10&lt;=Criteria!$B$2,G10&lt;=Criteria!$B$4),"PASS","FAIL")</f>
        <v>PASS</v>
      </c>
    </row>
    <row r="11">
      <c r="A11" t="inlineStr">
        <is>
          <t>VR-1910</t>
        </is>
      </c>
      <c r="B11" s="2" t="n">
        <v>46163</v>
      </c>
      <c r="C11" t="inlineStr">
        <is>
          <t>cruise</t>
        </is>
      </c>
      <c r="D11" t="inlineStr">
        <is>
          <t>v2.3.0-rc1</t>
        </is>
      </c>
      <c r="E11" t="inlineStr">
        <is>
          <t>estimator-02</t>
        </is>
      </c>
      <c r="F11" s="3" t="n">
        <v>0.166</v>
      </c>
      <c r="G11" s="4" t="n">
        <v>37.1</v>
      </c>
      <c r="H11" t="str">
        <f>IF(AND(F11&lt;=Criteria!$B$2,G11&lt;=Criteria!$B$4),"PASS","FAIL")</f>
        <v>PASS</v>
      </c>
    </row>
    <row r="12">
      <c r="A12" t="inlineStr">
        <is>
          <t>VR-1911</t>
        </is>
      </c>
      <c r="B12" s="2" t="n">
        <v>46164</v>
      </c>
      <c r="C12" t="inlineStr">
        <is>
          <t>stop-go</t>
        </is>
      </c>
      <c r="D12" t="inlineStr">
        <is>
          <t>v2.3.0-rc1</t>
        </is>
      </c>
      <c r="E12" t="inlineStr">
        <is>
          <t>estimator-01</t>
        </is>
      </c>
      <c r="F12" s="3" t="n">
        <v>0.228</v>
      </c>
      <c r="G12" s="4" t="n">
        <v>30.6</v>
      </c>
      <c r="H12" t="str">
        <f>IF(AND(F12&lt;=Criteria!$B$2,G12&lt;=Criteria!$B$4),"PASS","FAIL")</f>
        <v>PASS</v>
      </c>
    </row>
    <row r="13">
      <c r="A13" t="inlineStr">
        <is>
          <t>VR-1912</t>
        </is>
      </c>
      <c r="B13" s="2" t="n">
        <v>46164</v>
      </c>
      <c r="C13" t="inlineStr">
        <is>
          <t>crossing</t>
        </is>
      </c>
      <c r="D13" t="inlineStr">
        <is>
          <t>v2.3.0-rc1</t>
        </is>
      </c>
      <c r="E13" t="inlineStr">
        <is>
          <t>estimator-02</t>
        </is>
      </c>
      <c r="F13" s="3" t="n">
        <v>0.255</v>
      </c>
      <c r="G13" s="4" t="n">
        <v>35.7</v>
      </c>
      <c r="H13" t="str">
        <f>IF(AND(F13&lt;=Criteria!$B$2,G13&lt;=Criteria!$B$4),"PASS","FAIL")</f>
        <v>PASS</v>
      </c>
    </row>
    <row r="14">
      <c r="A14" t="inlineStr">
        <is>
          <t>VR-1913</t>
        </is>
      </c>
      <c r="B14" s="2" t="n">
        <v>46164</v>
      </c>
      <c r="C14" t="inlineStr">
        <is>
          <t>crossing</t>
        </is>
      </c>
      <c r="D14" t="inlineStr">
        <is>
          <t>v2.3.0-rc1</t>
        </is>
      </c>
      <c r="E14" t="inlineStr">
        <is>
          <t>estimator-01</t>
        </is>
      </c>
      <c r="F14" s="3" t="n">
        <v>0.23</v>
      </c>
      <c r="G14" s="4" t="n">
        <v>33</v>
      </c>
      <c r="H14" t="str">
        <f>IF(AND(F14&lt;=Criteria!$B$2,G14&lt;=Criteria!$B$4),"PASS","FAIL")</f>
        <v>PASS</v>
      </c>
    </row>
    <row r="15">
      <c r="A15" t="inlineStr">
        <is>
          <t>VR-1914</t>
        </is>
      </c>
      <c r="B15" s="2" t="n">
        <v>46164</v>
      </c>
      <c r="C15" t="inlineStr">
        <is>
          <t>crossing</t>
        </is>
      </c>
      <c r="D15" t="inlineStr">
        <is>
          <t>v2.3.0-rc1</t>
        </is>
      </c>
      <c r="E15" t="inlineStr">
        <is>
          <t>estimator-02</t>
        </is>
      </c>
      <c r="F15" s="3" t="n">
        <v>0.324</v>
      </c>
      <c r="G15" s="4" t="n">
        <v>34.9</v>
      </c>
      <c r="H15" t="str">
        <f>IF(AND(F15&lt;=Criteria!$B$2,G15&lt;=Criteria!$B$4),"PASS","FAIL")</f>
        <v>PASS</v>
      </c>
    </row>
    <row r="16">
      <c r="A16" t="inlineStr">
        <is>
          <t>VR-1915</t>
        </is>
      </c>
      <c r="B16" s="2" t="n">
        <v>46164</v>
      </c>
      <c r="C16" t="inlineStr">
        <is>
          <t>cruise</t>
        </is>
      </c>
      <c r="D16" t="inlineStr">
        <is>
          <t>v2.3.0-rc1</t>
        </is>
      </c>
      <c r="E16" t="inlineStr">
        <is>
          <t>estimator-01</t>
        </is>
      </c>
      <c r="F16" s="3" t="n">
        <v>0.224</v>
      </c>
      <c r="G16" s="4" t="n">
        <v>33.4</v>
      </c>
      <c r="H16" t="str">
        <f>IF(AND(F16&lt;=Criteria!$B$2,G16&lt;=Criteria!$B$4),"PASS","FAIL")</f>
        <v>PASS</v>
      </c>
    </row>
    <row r="17">
      <c r="A17" t="inlineStr">
        <is>
          <t>VR-1916</t>
        </is>
      </c>
      <c r="B17" s="2" t="n">
        <v>46165</v>
      </c>
      <c r="C17" t="inlineStr">
        <is>
          <t>crossing</t>
        </is>
      </c>
      <c r="D17" t="inlineStr">
        <is>
          <t>v2.3.0-rc1</t>
        </is>
      </c>
      <c r="E17" t="inlineStr">
        <is>
          <t>estimator-02</t>
        </is>
      </c>
      <c r="F17" s="3" t="n">
        <v>0.173</v>
      </c>
      <c r="G17" s="4" t="n">
        <v>37.4</v>
      </c>
      <c r="H17" t="str">
        <f>IF(AND(F17&lt;=Criteria!$B$2,G17&lt;=Criteria!$B$4),"PASS","FAIL")</f>
        <v>PASS</v>
      </c>
    </row>
    <row r="18">
      <c r="A18" t="inlineStr">
        <is>
          <t>VR-1917</t>
        </is>
      </c>
      <c r="B18" s="2" t="n">
        <v>46165</v>
      </c>
      <c r="C18" t="inlineStr">
        <is>
          <t>maneuver</t>
        </is>
      </c>
      <c r="D18" t="inlineStr">
        <is>
          <t>v2.3.0-rc1</t>
        </is>
      </c>
      <c r="E18" t="inlineStr">
        <is>
          <t>estimator-01</t>
        </is>
      </c>
      <c r="F18" s="3" t="n">
        <v>0.931</v>
      </c>
      <c r="G18" s="4" t="n">
        <v>33</v>
      </c>
      <c r="H18" t="str">
        <f>IF(AND(F18&lt;=Criteria!$B$2,G18&lt;=Criteria!$B$4),"PASS","FAIL")</f>
        <v>FAIL</v>
      </c>
    </row>
    <row r="19">
      <c r="A19" t="inlineStr">
        <is>
          <t>VR-1918</t>
        </is>
      </c>
      <c r="B19" s="2" t="n">
        <v>46165</v>
      </c>
      <c r="C19" t="inlineStr">
        <is>
          <t>crossing</t>
        </is>
      </c>
      <c r="D19" t="inlineStr">
        <is>
          <t>v2.3.0-rc1</t>
        </is>
      </c>
      <c r="E19" t="inlineStr">
        <is>
          <t>estimator-02</t>
        </is>
      </c>
      <c r="F19" s="3" t="n">
        <v>0.214</v>
      </c>
      <c r="G19" s="4" t="n">
        <v>42.8</v>
      </c>
      <c r="H19" t="str">
        <f>IF(AND(F19&lt;=Criteria!$B$2,G19&lt;=Criteria!$B$4),"PASS","FAIL")</f>
        <v>PASS</v>
      </c>
    </row>
    <row r="20">
      <c r="A20" t="inlineStr">
        <is>
          <t>VR-1919</t>
        </is>
      </c>
      <c r="B20" s="2" t="n">
        <v>46165</v>
      </c>
      <c r="C20" t="inlineStr">
        <is>
          <t>cruise</t>
        </is>
      </c>
      <c r="D20" t="inlineStr">
        <is>
          <t>v2.3.0-rc1</t>
        </is>
      </c>
      <c r="E20" t="inlineStr">
        <is>
          <t>estimator-01</t>
        </is>
      </c>
      <c r="F20" s="3" t="n">
        <v>0.225</v>
      </c>
      <c r="G20" s="4" t="n">
        <v>35.2</v>
      </c>
      <c r="H20" t="str">
        <f>IF(AND(F20&lt;=Criteria!$B$2,G20&lt;=Criteria!$B$4),"PASS","FAIL")</f>
        <v>PASS</v>
      </c>
    </row>
    <row r="21">
      <c r="A21" t="inlineStr">
        <is>
          <t>VR-1920</t>
        </is>
      </c>
      <c r="B21" s="2" t="n">
        <v>46165</v>
      </c>
      <c r="C21" t="inlineStr">
        <is>
          <t>stop-go</t>
        </is>
      </c>
      <c r="D21" t="inlineStr">
        <is>
          <t>v2.3.0-rc1</t>
        </is>
      </c>
      <c r="E21" t="inlineStr">
        <is>
          <t>estimator-02</t>
        </is>
      </c>
      <c r="F21" s="3" t="n">
        <v>0.266</v>
      </c>
      <c r="G21" s="4" t="n">
        <v>36.9</v>
      </c>
      <c r="H21" t="str">
        <f>IF(AND(F21&lt;=Criteria!$B$2,G21&lt;=Criteria!$B$4),"PASS","FAIL")</f>
        <v>PASS</v>
      </c>
    </row>
    <row r="22">
      <c r="A22" t="inlineStr">
        <is>
          <t>VR-1921</t>
        </is>
      </c>
      <c r="B22" s="2" t="n">
        <v>46166</v>
      </c>
      <c r="C22" t="inlineStr">
        <is>
          <t>crossing</t>
        </is>
      </c>
      <c r="D22" t="inlineStr">
        <is>
          <t>v2.3.0-rc1</t>
        </is>
      </c>
      <c r="E22" t="inlineStr">
        <is>
          <t>estimator-01</t>
        </is>
      </c>
      <c r="F22" s="3" t="n">
        <v>0.178</v>
      </c>
      <c r="G22" s="4" t="n">
        <v>30.5</v>
      </c>
      <c r="H22" t="str">
        <f>IF(AND(F22&lt;=Criteria!$B$2,G22&lt;=Criteria!$B$4),"PASS","FAIL")</f>
        <v>PASS</v>
      </c>
    </row>
    <row r="23">
      <c r="A23" t="inlineStr">
        <is>
          <t>VR-1922</t>
        </is>
      </c>
      <c r="B23" s="2" t="n">
        <v>46166</v>
      </c>
      <c r="C23" t="inlineStr">
        <is>
          <t>turn</t>
        </is>
      </c>
      <c r="D23" t="inlineStr">
        <is>
          <t>v2.3.0-rc1</t>
        </is>
      </c>
      <c r="E23" t="inlineStr">
        <is>
          <t>estimator-02</t>
        </is>
      </c>
      <c r="F23" s="3" t="n">
        <v>0.318</v>
      </c>
      <c r="G23" s="4" t="n">
        <v>40.6</v>
      </c>
      <c r="H23" t="str">
        <f>IF(AND(F23&lt;=Criteria!$B$2,G23&lt;=Criteria!$B$4),"PASS","FAIL")</f>
        <v>PASS</v>
      </c>
    </row>
    <row r="24">
      <c r="A24" t="inlineStr">
        <is>
          <t>VR-1923</t>
        </is>
      </c>
      <c r="B24" s="2" t="n">
        <v>46166</v>
      </c>
      <c r="C24" t="inlineStr">
        <is>
          <t>turn</t>
        </is>
      </c>
      <c r="D24" t="inlineStr">
        <is>
          <t>v2.3.0-rc1</t>
        </is>
      </c>
      <c r="E24" t="inlineStr">
        <is>
          <t>estimator-01</t>
        </is>
      </c>
      <c r="F24" s="3" t="n">
        <v>0.233</v>
      </c>
      <c r="G24" s="4" t="n">
        <v>31.9</v>
      </c>
      <c r="H24" t="str">
        <f>IF(AND(F24&lt;=Criteria!$B$2,G24&lt;=Criteria!$B$4),"PASS","FAIL")</f>
        <v>PASS</v>
      </c>
    </row>
    <row r="25">
      <c r="A25" t="inlineStr">
        <is>
          <t>VR-1924</t>
        </is>
      </c>
      <c r="B25" s="2" t="n">
        <v>46166</v>
      </c>
      <c r="C25" t="inlineStr">
        <is>
          <t>turn</t>
        </is>
      </c>
      <c r="D25" t="inlineStr">
        <is>
          <t>v2.3.0-rc1</t>
        </is>
      </c>
      <c r="E25" t="inlineStr">
        <is>
          <t>estimator-02</t>
        </is>
      </c>
      <c r="F25" s="3" t="n">
        <v>0.381</v>
      </c>
      <c r="G25" s="4" t="n">
        <v>42.6</v>
      </c>
      <c r="H25" t="str">
        <f>IF(AND(F25&lt;=Criteria!$B$2,G25&lt;=Criteria!$B$4),"PASS","FAIL")</f>
        <v>PASS</v>
      </c>
    </row>
    <row r="26">
      <c r="A26" t="inlineStr">
        <is>
          <t>VR-1925</t>
        </is>
      </c>
      <c r="B26" s="2" t="n">
        <v>46166</v>
      </c>
      <c r="C26" t="inlineStr">
        <is>
          <t>stop-go</t>
        </is>
      </c>
      <c r="D26" t="inlineStr">
        <is>
          <t>v2.3.0-rc1</t>
        </is>
      </c>
      <c r="E26" t="inlineStr">
        <is>
          <t>estimator-01</t>
        </is>
      </c>
      <c r="F26" s="3" t="n">
        <v>0.244</v>
      </c>
      <c r="G26" s="4" t="n">
        <v>31.4</v>
      </c>
      <c r="H26" t="str">
        <f>IF(AND(F26&lt;=Criteria!$B$2,G26&lt;=Criteria!$B$4),"PASS","FAIL")</f>
        <v>PASS</v>
      </c>
    </row>
    <row r="27">
      <c r="A27" t="inlineStr">
        <is>
          <t>VR-1926</t>
        </is>
      </c>
      <c r="B27" s="2" t="n">
        <v>46167</v>
      </c>
      <c r="C27" t="inlineStr">
        <is>
          <t>turn</t>
        </is>
      </c>
      <c r="D27" t="inlineStr">
        <is>
          <t>v2.3.0-rc1</t>
        </is>
      </c>
      <c r="E27" t="inlineStr">
        <is>
          <t>estimator-02</t>
        </is>
      </c>
      <c r="F27" s="3" t="n">
        <v>0.377</v>
      </c>
      <c r="G27" s="4" t="n">
        <v>43.3</v>
      </c>
      <c r="H27" t="str">
        <f>IF(AND(F27&lt;=Criteria!$B$2,G27&lt;=Criteria!$B$4),"PASS","FAIL")</f>
        <v>PASS</v>
      </c>
    </row>
    <row r="28">
      <c r="A28" t="inlineStr">
        <is>
          <t>VR-1927</t>
        </is>
      </c>
      <c r="B28" s="2" t="n">
        <v>46167</v>
      </c>
      <c r="C28" t="inlineStr">
        <is>
          <t>turn</t>
        </is>
      </c>
      <c r="D28" t="inlineStr">
        <is>
          <t>v2.3.0-rc1</t>
        </is>
      </c>
      <c r="E28" t="inlineStr">
        <is>
          <t>estimator-01</t>
        </is>
      </c>
      <c r="F28" s="3" t="n">
        <v>0.243</v>
      </c>
      <c r="G28" s="4" t="n">
        <v>34.1</v>
      </c>
      <c r="H28" t="str">
        <f>IF(AND(F28&lt;=Criteria!$B$2,G28&lt;=Criteria!$B$4),"PASS","FAIL")</f>
        <v>PASS</v>
      </c>
    </row>
    <row r="29">
      <c r="A29" t="inlineStr">
        <is>
          <t>VR-1928</t>
        </is>
      </c>
      <c r="B29" s="2" t="n">
        <v>46167</v>
      </c>
      <c r="C29" t="inlineStr">
        <is>
          <t>cruise</t>
        </is>
      </c>
      <c r="D29" t="inlineStr">
        <is>
          <t>v2.3.0-rc1</t>
        </is>
      </c>
      <c r="E29" t="inlineStr">
        <is>
          <t>estimator-02</t>
        </is>
      </c>
      <c r="F29" s="3" t="n">
        <v>0.14</v>
      </c>
      <c r="G29" s="4" t="n">
        <v>37.5</v>
      </c>
      <c r="H29" t="str">
        <f>IF(AND(F29&lt;=Criteria!$B$2,G29&lt;=Criteria!$B$4),"PASS","FAIL")</f>
        <v>PASS</v>
      </c>
    </row>
    <row r="30">
      <c r="A30" t="inlineStr">
        <is>
          <t>VR-1929</t>
        </is>
      </c>
      <c r="B30" s="2" t="n">
        <v>46167</v>
      </c>
      <c r="C30" t="inlineStr">
        <is>
          <t>maneuver</t>
        </is>
      </c>
      <c r="D30" t="inlineStr">
        <is>
          <t>v2.3.0-rc1</t>
        </is>
      </c>
      <c r="E30" t="inlineStr">
        <is>
          <t>estimator-01</t>
        </is>
      </c>
      <c r="F30" s="3" t="n">
        <v>0.837</v>
      </c>
      <c r="G30" s="4" t="n">
        <v>31.1</v>
      </c>
      <c r="H30" t="str">
        <f>IF(AND(F30&lt;=Criteria!$B$2,G30&lt;=Criteria!$B$4),"PASS","FAIL")</f>
        <v>FAIL</v>
      </c>
    </row>
    <row r="31">
      <c r="A31" t="inlineStr">
        <is>
          <t>VR-1930</t>
        </is>
      </c>
      <c r="B31" s="2" t="n">
        <v>46167</v>
      </c>
      <c r="C31" t="inlineStr">
        <is>
          <t>crossing</t>
        </is>
      </c>
      <c r="D31" t="inlineStr">
        <is>
          <t>v2.3.0-rc1</t>
        </is>
      </c>
      <c r="E31" t="inlineStr">
        <is>
          <t>estimator-02</t>
        </is>
      </c>
      <c r="F31" s="3" t="n">
        <v>0.292</v>
      </c>
      <c r="G31" s="4" t="n">
        <v>38.1</v>
      </c>
      <c r="H31" t="str">
        <f>IF(AND(F31&lt;=Criteria!$B$2,G31&lt;=Criteria!$B$4),"PASS","FAIL")</f>
        <v>PASS</v>
      </c>
    </row>
    <row r="32">
      <c r="A32" t="inlineStr">
        <is>
          <t>VR-1931</t>
        </is>
      </c>
      <c r="B32" s="2" t="n">
        <v>46168</v>
      </c>
      <c r="C32" t="inlineStr">
        <is>
          <t>stop-go</t>
        </is>
      </c>
      <c r="D32" t="inlineStr">
        <is>
          <t>v2.3.0-rc1</t>
        </is>
      </c>
      <c r="E32" t="inlineStr">
        <is>
          <t>estimator-01</t>
        </is>
      </c>
      <c r="F32" s="3" t="n">
        <v>0.309</v>
      </c>
      <c r="G32" s="4" t="n">
        <v>34.9</v>
      </c>
      <c r="H32" t="str">
        <f>IF(AND(F32&lt;=Criteria!$B$2,G32&lt;=Criteria!$B$4),"PASS","FAIL")</f>
        <v>PASS</v>
      </c>
    </row>
    <row r="33">
      <c r="A33" t="inlineStr">
        <is>
          <t>VR-1932</t>
        </is>
      </c>
      <c r="B33" s="2" t="n">
        <v>46168</v>
      </c>
      <c r="C33" t="inlineStr">
        <is>
          <t>maneuver</t>
        </is>
      </c>
      <c r="D33" t="inlineStr">
        <is>
          <t>v2.3.0-rc1</t>
        </is>
      </c>
      <c r="E33" t="inlineStr">
        <is>
          <t>estimator-02</t>
        </is>
      </c>
      <c r="F33" s="3" t="n">
        <v>0.786</v>
      </c>
      <c r="G33" s="4" t="n">
        <v>37</v>
      </c>
      <c r="H33" t="str">
        <f>IF(AND(F33&lt;=Criteria!$B$2,G33&lt;=Criteria!$B$4),"PASS","FAIL")</f>
        <v>FAIL</v>
      </c>
    </row>
    <row r="34">
      <c r="A34" t="inlineStr">
        <is>
          <t>VR-1933</t>
        </is>
      </c>
      <c r="B34" s="2" t="n">
        <v>46168</v>
      </c>
      <c r="C34" t="inlineStr">
        <is>
          <t>cruise</t>
        </is>
      </c>
      <c r="D34" t="inlineStr">
        <is>
          <t>v2.3.0-rc1</t>
        </is>
      </c>
      <c r="E34" t="inlineStr">
        <is>
          <t>estimator-01</t>
        </is>
      </c>
      <c r="F34" s="3" t="n">
        <v>0.09</v>
      </c>
      <c r="G34" s="4" t="n">
        <v>36.4</v>
      </c>
      <c r="H34" t="str">
        <f>IF(AND(F34&lt;=Criteria!$B$2,G34&lt;=Criteria!$B$4),"PASS","FAIL")</f>
        <v>PASS</v>
      </c>
    </row>
    <row r="35">
      <c r="A35" t="inlineStr">
        <is>
          <t>VR-1934</t>
        </is>
      </c>
      <c r="B35" s="2" t="n">
        <v>46168</v>
      </c>
      <c r="C35" t="inlineStr">
        <is>
          <t>stop-go</t>
        </is>
      </c>
      <c r="D35" t="inlineStr">
        <is>
          <t>v2.3.0-rc1</t>
        </is>
      </c>
      <c r="E35" t="inlineStr">
        <is>
          <t>estimator-02</t>
        </is>
      </c>
      <c r="F35" s="3" t="n">
        <v>0.306</v>
      </c>
      <c r="G35" s="4" t="n">
        <v>42.2</v>
      </c>
      <c r="H35" t="str">
        <f>IF(AND(F35&lt;=Criteria!$B$2,G35&lt;=Criteria!$B$4),"PASS","FAIL")</f>
        <v>PASS</v>
      </c>
    </row>
    <row r="36">
      <c r="A36" t="inlineStr">
        <is>
          <t>VR-1935</t>
        </is>
      </c>
      <c r="B36" s="2" t="n">
        <v>46168</v>
      </c>
      <c r="C36" t="inlineStr">
        <is>
          <t>turn</t>
        </is>
      </c>
      <c r="D36" t="inlineStr">
        <is>
          <t>v2.3.0-rc1</t>
        </is>
      </c>
      <c r="E36" t="inlineStr">
        <is>
          <t>estimator-01</t>
        </is>
      </c>
      <c r="F36" s="3" t="n">
        <v>0.5</v>
      </c>
      <c r="G36" s="4" t="n">
        <v>31.1</v>
      </c>
      <c r="H36" t="str">
        <f>IF(AND(F36&lt;=Criteria!$B$2,G36&lt;=Criteria!$B$4),"PASS","FAIL")</f>
        <v>PASS</v>
      </c>
    </row>
    <row r="37">
      <c r="A37" t="inlineStr">
        <is>
          <t>VR-1936</t>
        </is>
      </c>
      <c r="B37" s="2" t="n">
        <v>46169</v>
      </c>
      <c r="C37" t="inlineStr">
        <is>
          <t>cruise</t>
        </is>
      </c>
      <c r="D37" t="inlineStr">
        <is>
          <t>v2.3.0-rc1</t>
        </is>
      </c>
      <c r="E37" t="inlineStr">
        <is>
          <t>estimator-02</t>
        </is>
      </c>
      <c r="F37" s="3" t="n">
        <v>0.099</v>
      </c>
      <c r="G37" s="4" t="n">
        <v>39.9</v>
      </c>
      <c r="H37" t="str">
        <f>IF(AND(F37&lt;=Criteria!$B$2,G37&lt;=Criteria!$B$4),"PASS","FAIL")</f>
        <v>PASS</v>
      </c>
    </row>
    <row r="38">
      <c r="A38" t="inlineStr">
        <is>
          <t>VR-1937</t>
        </is>
      </c>
      <c r="B38" s="2" t="n">
        <v>46169</v>
      </c>
      <c r="C38" t="inlineStr">
        <is>
          <t>stop-go</t>
        </is>
      </c>
      <c r="D38" t="inlineStr">
        <is>
          <t>v2.3.0-rc1</t>
        </is>
      </c>
      <c r="E38" t="inlineStr">
        <is>
          <t>estimator-01</t>
        </is>
      </c>
      <c r="F38" s="3" t="n">
        <v>0.379</v>
      </c>
      <c r="G38" s="4" t="n">
        <v>33.6</v>
      </c>
      <c r="H38" t="str">
        <f>IF(AND(F38&lt;=Criteria!$B$2,G38&lt;=Criteria!$B$4),"PASS","FAIL")</f>
        <v>PASS</v>
      </c>
    </row>
    <row r="39">
      <c r="A39" t="inlineStr">
        <is>
          <t>VR-1938</t>
        </is>
      </c>
      <c r="B39" s="2" t="n">
        <v>46169</v>
      </c>
      <c r="C39" t="inlineStr">
        <is>
          <t>stop-go</t>
        </is>
      </c>
      <c r="D39" t="inlineStr">
        <is>
          <t>v2.3.0-rc1</t>
        </is>
      </c>
      <c r="E39" t="inlineStr">
        <is>
          <t>estimator-02</t>
        </is>
      </c>
      <c r="F39" s="3" t="n">
        <v>0.362</v>
      </c>
      <c r="G39" s="4" t="n">
        <v>38.5</v>
      </c>
      <c r="H39" t="str">
        <f>IF(AND(F39&lt;=Criteria!$B$2,G39&lt;=Criteria!$B$4),"PASS","FAIL")</f>
        <v>PASS</v>
      </c>
    </row>
    <row r="40">
      <c r="A40" t="inlineStr">
        <is>
          <t>VR-1939</t>
        </is>
      </c>
      <c r="B40" s="2" t="n">
        <v>46169</v>
      </c>
      <c r="C40" t="inlineStr">
        <is>
          <t>cruise</t>
        </is>
      </c>
      <c r="D40" t="inlineStr">
        <is>
          <t>v2.3.0-rc1</t>
        </is>
      </c>
      <c r="E40" t="inlineStr">
        <is>
          <t>estimator-01</t>
        </is>
      </c>
      <c r="F40" s="3" t="n">
        <v>0.162</v>
      </c>
      <c r="G40" s="4" t="n">
        <v>32.1</v>
      </c>
      <c r="H40" t="str">
        <f>IF(AND(F40&lt;=Criteria!$B$2,G40&lt;=Criteria!$B$4),"PASS","FAIL")</f>
        <v>PASS</v>
      </c>
    </row>
    <row r="41">
      <c r="A41" t="inlineStr">
        <is>
          <t>VR-1940</t>
        </is>
      </c>
      <c r="B41" s="2" t="n">
        <v>46169</v>
      </c>
      <c r="C41" t="inlineStr">
        <is>
          <t>crossing</t>
        </is>
      </c>
      <c r="D41" t="inlineStr">
        <is>
          <t>v2.3.0-rc1</t>
        </is>
      </c>
      <c r="E41" t="inlineStr">
        <is>
          <t>estimator-02</t>
        </is>
      </c>
      <c r="F41" s="3" t="n">
        <v>0.308</v>
      </c>
      <c r="G41" s="4" t="n">
        <v>38.3</v>
      </c>
      <c r="H41" t="str">
        <f>IF(AND(F41&lt;=Criteria!$B$2,G41&lt;=Criteria!$B$4),"PASS","FAIL")</f>
        <v>PASS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VAL-2026-05</t>
        </is>
      </c>
    </row>
    <row r="3">
      <c r="A3" t="inlineStr">
        <is>
          <t>Build under test</t>
        </is>
      </c>
      <c r="B3" t="inlineStr">
        <is>
          <t>v2.3.0-rc1</t>
        </is>
      </c>
    </row>
    <row r="4">
      <c r="A4" t="inlineStr">
        <is>
          <t>Period</t>
        </is>
      </c>
      <c r="B4" t="inlineStr">
        <is>
          <t>2026-05-20 to 2026-05-27</t>
        </is>
      </c>
    </row>
    <row r="5">
      <c r="A5" t="inlineStr">
        <is>
          <t>Total runs</t>
        </is>
      </c>
      <c r="B5">
        <f>COUNTA(Runs!A2:A41)</f>
        <v>40.0</v>
      </c>
    </row>
    <row r="6">
      <c r="A6" t="inlineStr">
        <is>
          <t>Passed</t>
        </is>
      </c>
      <c r="B6">
        <f>COUNTIF(Runs!H2:H41,"PASS")</f>
        <v>34.0</v>
      </c>
    </row>
    <row r="7">
      <c r="A7" t="inlineStr">
        <is>
          <t>Failed</t>
        </is>
      </c>
      <c r="B7">
        <f>COUNTIF(Runs!H2:H41,"FAIL")</f>
        <v>6.0</v>
      </c>
    </row>
    <row r="8">
      <c r="A8" t="inlineStr">
        <is>
          <t>Pass rate</t>
        </is>
      </c>
      <c r="B8" s="5">
        <f>B6/B5</f>
        <v>0.85</v>
      </c>
    </row>
    <row r="9">
      <c r="A9" t="inlineStr">
        <is>
          <t>Mean peak position error (m)</t>
        </is>
      </c>
      <c r="B9" s="3">
        <f>AVERAGE(Runs!F2:F41)</f>
        <v>0.35505</v>
      </c>
    </row>
    <row r="10">
      <c r="A10" t="inlineStr">
        <is>
          <t>Max peak position error (m)</t>
        </is>
      </c>
      <c r="B10" s="3">
        <f>MAX(Runs!F2:F41)</f>
        <v>1.003</v>
      </c>
    </row>
    <row r="11">
      <c r="A11" t="inlineStr">
        <is>
          <t>Max runtime (ms)</t>
        </is>
      </c>
      <c r="B11" s="4">
        <f>MAX(Runs!G2:G41)</f>
        <v>43.3</v>
      </c>
    </row>
    <row r="12">
      <c r="A12" s="6" t="inlineStr">
        <is>
          <t>Verdict</t>
        </is>
      </c>
      <c r="B12" s="6" t="str">
        <f>IF(B8&gt;=Criteria!B3,"ACCEPT","REJECT")</f>
        <v>REJECT</v>
      </c>
    </row>
    <row r="13">
      <c r="A13" t="inlineStr">
        <is>
          <t>Prepared by</t>
        </is>
      </c>
      <c r="B13" t="inlineStr">
        <is>
          <t>D. Volkov, 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D. Volkov</dc:creator>
  <dcterms:created xsi:type="dcterms:W3CDTF">2026-05-28T09:00:00Z</dcterms:created>
  <dcterms:modified xsi:type="dcterms:W3CDTF">2026-10-14T03:26:21Z</dcterms:modified>
  <cp:lastModifiedBy>D. Volkov</cp:lastModifiedBy>
</cp:coreProperties>
</file>